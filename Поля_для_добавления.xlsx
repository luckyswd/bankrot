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0" windowWidth="16380" windowHeight="8196" tabRatio="500" firstSheet="4" activeTab="7"/>
  </bookViews>
  <sheets>
    <sheet name="Сводка" sheetId="1" r:id="rId1"/>
    <sheet name="1. Отчёт ФУ" sheetId="2" r:id="rId2"/>
    <sheet name="2. Реестр требований" sheetId="3" r:id="rId3"/>
    <sheet name="3. Опись имущества" sheetId="4" r:id="rId4"/>
    <sheet name="4. Оспаривание сделок" sheetId="5" r:id="rId5"/>
    <sheet name="5. Фиктивное банкротство" sheetId="6" r:id="rId6"/>
    <sheet name="6. Анализ фин. состояния" sheetId="7" r:id="rId7"/>
    <sheet name="7. Ходатайство" sheetId="8" r:id="rId8"/>
  </sheets>
  <definedNames>
    <definedName name="_xlnm._FilterDatabase" localSheetId="1" hidden="1">'1. Отчёт ФУ'!$A$4:$D$33</definedName>
    <definedName name="_xlnm._FilterDatabase" localSheetId="2" hidden="1">'2. Реестр требований'!$A$4:$D$11</definedName>
    <definedName name="_xlnm._FilterDatabase" localSheetId="3" hidden="1">'3. Опись имущества'!$A$4:$D$5</definedName>
    <definedName name="_xlnm._FilterDatabase" localSheetId="4" hidden="1">'4. Оспаривание сделок'!$A$4:$D$8</definedName>
    <definedName name="_xlnm._FilterDatabase" localSheetId="5" hidden="1">'5. Фиктивное банкротство'!$A$4:$D$6</definedName>
    <definedName name="_xlnm._FilterDatabase" localSheetId="6" hidden="1">'6. Анализ фин. состояния'!$A$4:$D$19</definedName>
    <definedName name="_xlnm._FilterDatabase" localSheetId="7" hidden="1">'7. Ходатайство'!$A$4:$D$8</definedName>
  </definedNames>
  <calcPr calcId="125725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2" i="1"/>
</calcChain>
</file>

<file path=xl/sharedStrings.xml><?xml version="1.0" encoding="utf-8"?>
<sst xmlns="http://schemas.openxmlformats.org/spreadsheetml/2006/main" count="358" uniqueCount="219">
  <si>
    <t>Какие поля надо добавить — по документам</t>
  </si>
  <si>
    <t>Учитываются только фрагменты, выделенные в исходных файлах зелёным и красным. Здесь перечислено то, чего в системе нет.</t>
  </si>
  <si>
    <t>#</t>
  </si>
  <si>
    <t>Документ</t>
  </si>
  <si>
    <t>Файл</t>
  </si>
  <si>
    <t>Полей добавить</t>
  </si>
  <si>
    <t>1. Отчёт ФУ</t>
  </si>
  <si>
    <t>1_Отчет_финансового_управляющего_о_результатах_проведения_реализации.doc</t>
  </si>
  <si>
    <t>2. Реестр требований</t>
  </si>
  <si>
    <t>2. Реестр требований кредиторов.doc</t>
  </si>
  <si>
    <t>3. Опись имущества</t>
  </si>
  <si>
    <t>3. Опись имущества гражданина.doc</t>
  </si>
  <si>
    <t>4. Оспаривание сделок</t>
  </si>
  <si>
    <t>4_Заключение_о_наличии_или_об_отсутствии_оснований_для_оспаривания.doc</t>
  </si>
  <si>
    <t>5. Фиктивное банкротство</t>
  </si>
  <si>
    <t>5_Заключение_о_наличии_отсутствии_признаков_фиктивного_или_преднамеренного.doc</t>
  </si>
  <si>
    <t>6. Анализ фин. состояния</t>
  </si>
  <si>
    <t>6_Анализ_финансового_состояния_гражданина.docx</t>
  </si>
  <si>
    <t>7. Ходатайство</t>
  </si>
  <si>
    <t>Ходатайство_о_завершении_реализации_имущества.doc</t>
  </si>
  <si>
    <t>Итого позиций</t>
  </si>
  <si>
    <t>Из 62 позиций 7 повторяются между документами (договор страхования, дата описи, дата возбуждения дела, дата финанализа, недвижимое имущество).</t>
  </si>
  <si>
    <t>Уникальных полей — 55. С учётом таблицы приложений к ходатайству (3 колонки) это 57 новых колонок в базе.</t>
  </si>
  <si>
    <t>ОТЧЕТ ФИНАНСОВОГО УПРАВЛЯЮЩЕГО О СВОЕЙ ДЕЯТЕЛЬНОСТИ И О РЕЗУЛЬТАТАХ РЕАЛИЗАЦИИ ИМУЩЕСТВА ГРАЖДАНИНА</t>
  </si>
  <si>
    <t>Где в документе — искать по этой строке</t>
  </si>
  <si>
    <t>Как сейчас в документе</t>
  </si>
  <si>
    <t>Тип поля, которое добавляем</t>
  </si>
  <si>
    <t>1</t>
  </si>
  <si>
    <t>Даты принятия судебных актов о продлении реализации имущества гражданина</t>
  </si>
  <si>
    <t>Процедура реализации имущества не продлевалась</t>
  </si>
  <si>
    <t>Текст (многострочный)</t>
  </si>
  <si>
    <t>2</t>
  </si>
  <si>
    <t>Номер договора страхования, дата его заключения и срок действия</t>
  </si>
  <si>
    <t>Договор № Arbitr-3980975400-26366 от 08.09.2022 г., срок действия с 09.09.2022 г. по 08.09.2026 г.</t>
  </si>
  <si>
    <t>Строка</t>
  </si>
  <si>
    <t>3</t>
  </si>
  <si>
    <t>1. Недвижимое имущество всего, в том числе:</t>
  </si>
  <si>
    <t>квартира в многоквартирном доме (кадастровый номер 78:15:0000:15:350) на праве общей долевой собственности (доля в праве ½), площадью 78,8 кв.м., расположенная по адресу: г. Санкт-Петербург, ул. Савушкина, д. 18, кв. 18</t>
  </si>
  <si>
    <t>4</t>
  </si>
  <si>
    <t>* указана кадастровая стоимость объекта недвижимости</t>
  </si>
  <si>
    <t>* указана кадастровая стоимость объекта недвижимости (доли в праве), исключено из конкурсной массы на основании п. 3 Постановления Пленума Верховного суда РФ от 28 декабря 2018 г. №48</t>
  </si>
  <si>
    <t>5</t>
  </si>
  <si>
    <t>Опись имущества должника проведена</t>
  </si>
  <si>
    <t>«02» июля 2025 г.</t>
  </si>
  <si>
    <t>Дата</t>
  </si>
  <si>
    <t>6</t>
  </si>
  <si>
    <t>6) направлен запрос в отдел ЗАГС</t>
  </si>
  <si>
    <t>отдел ЗАГС Комитета по делам ЗАГС Правительства Санкт-Петербурга</t>
  </si>
  <si>
    <t>7</t>
  </si>
  <si>
    <t>справка об отсутствии факта государственной регистрации акта гражданского состояния за период с</t>
  </si>
  <si>
    <t>«11» февраля 2009 г.</t>
  </si>
  <si>
    <t>8</t>
  </si>
  <si>
    <t>… по (окончание периода справки ЗАГС)</t>
  </si>
  <si>
    <t>«10» июля 2025 г.</t>
  </si>
  <si>
    <t>9</t>
  </si>
  <si>
    <t>АО «Коммерсантъ. Издательский Дом» №</t>
  </si>
  <si>
    <t>139 (7101)</t>
  </si>
  <si>
    <t>10</t>
  </si>
  <si>
    <t>объявление №</t>
  </si>
  <si>
    <t>78230149776</t>
  </si>
  <si>
    <t>11</t>
  </si>
  <si>
    <t>объявление № … от</t>
  </si>
  <si>
    <t>«07» февраля 2025 г.</t>
  </si>
  <si>
    <t>12</t>
  </si>
  <si>
    <t>«Единый федеральный реестр сведений о банкротстве» сообщение №</t>
  </si>
  <si>
    <t>3134699</t>
  </si>
  <si>
    <t>13</t>
  </si>
  <si>
    <t>сообщение № … от</t>
  </si>
  <si>
    <t>«18» февраля 2025 г.</t>
  </si>
  <si>
    <t>14</t>
  </si>
  <si>
    <t>Уведомление кредиторов о признании гражданина банкротом и введении реализации имущества гражданина</t>
  </si>
  <si>
    <t>«30» февраля 2025 г.</t>
  </si>
  <si>
    <t>15</t>
  </si>
  <si>
    <t>Дата закрытия реестра кредиторов</t>
  </si>
  <si>
    <t>«17» июля 2025 г.</t>
  </si>
  <si>
    <t>16</t>
  </si>
  <si>
    <t>— об отказе включить требования в реестр</t>
  </si>
  <si>
    <t>0</t>
  </si>
  <si>
    <t>Флаг в строке требования кредитора</t>
  </si>
  <si>
    <t>17</t>
  </si>
  <si>
    <t>Расходы на опубликование сообщений на ЕФРСБ — размер обязательства</t>
  </si>
  <si>
    <t>560,55</t>
  </si>
  <si>
    <t>Сумма</t>
  </si>
  <si>
    <t>18</t>
  </si>
  <si>
    <t>Расходы на опубликование сообщений на ЕФРСБ — непогашенный остаток</t>
  </si>
  <si>
    <t>530,88</t>
  </si>
  <si>
    <t>19</t>
  </si>
  <si>
    <t>Почтовые расходы — размер обязательства</t>
  </si>
  <si>
    <t>1490</t>
  </si>
  <si>
    <t>20</t>
  </si>
  <si>
    <t>Почтовые расходы — непогашенный остаток</t>
  </si>
  <si>
    <t>21</t>
  </si>
  <si>
    <t>Расходы на опубликование сообщений в газетах — размер обязательства</t>
  </si>
  <si>
    <t>7866,05</t>
  </si>
  <si>
    <t>22</t>
  </si>
  <si>
    <t>Расходы на опубликование сообщений в газетах — непогашенный остаток</t>
  </si>
  <si>
    <t>23</t>
  </si>
  <si>
    <t>Будущие расходы на опубликование сообщений на ЕФРСБ — размер обязательства</t>
  </si>
  <si>
    <t>1121,1</t>
  </si>
  <si>
    <t>24</t>
  </si>
  <si>
    <t>Будущие расходы на опубликование сообщений на ЕФРСБ — непогашенный остаток</t>
  </si>
  <si>
    <t>25</t>
  </si>
  <si>
    <t>Финансовый анализ проведен</t>
  </si>
  <si>
    <t>«14» мая 2026 г.</t>
  </si>
  <si>
    <t>26</t>
  </si>
  <si>
    <t>За период с … проведена следующая работа</t>
  </si>
  <si>
    <t>01.01.2025 г.</t>
  </si>
  <si>
    <t>27</t>
  </si>
  <si>
    <t>… по (окончание отчётного периода)</t>
  </si>
  <si>
    <t>01.08.2026 г.</t>
  </si>
  <si>
    <t>28</t>
  </si>
  <si>
    <t>в адрес кредиторов, включенных в реестр требований кредиторов на дату окончания квартала</t>
  </si>
  <si>
    <t>30.12.2025 г.</t>
  </si>
  <si>
    <t>29</t>
  </si>
  <si>
    <t>руководствуясь величиной прожиточного минимума, установленной</t>
  </si>
  <si>
    <t>Постановлением Правительства Санкт-Петербурга № 682 от 08 августа 2024 года и № 858 от 11 ноября 2025 года</t>
  </si>
  <si>
    <t>РЕЕСТР ТРЕБОВАНИЙ КРЕДИТОРОВ (форма приказа Минэкономразвития РФ № 233)</t>
  </si>
  <si>
    <t>Дата открытия:</t>
  </si>
  <si>
    <t>17.05.2025 г.</t>
  </si>
  <si>
    <t>Дата внесения записи о кредиторе в реестр</t>
  </si>
  <si>
    <t>17.07.2025 г.</t>
  </si>
  <si>
    <t>Дата в строке требования кредитора</t>
  </si>
  <si>
    <t>Вид обязательства</t>
  </si>
  <si>
    <t>Кредит / Штраф</t>
  </si>
  <si>
    <t>Строка в строке требования кредитора</t>
  </si>
  <si>
    <t>Определение Арбитражного суда … по делу №</t>
  </si>
  <si>
    <t>А56-117152/2018/тр.1</t>
  </si>
  <si>
    <t>Дата возникновения требования</t>
  </si>
  <si>
    <t>15.03.2019</t>
  </si>
  <si>
    <t>Сумма погашения в рублях</t>
  </si>
  <si>
    <t>0,00</t>
  </si>
  <si>
    <t>Сумма в строке требования кредитора</t>
  </si>
  <si>
    <t>Всего требований кредиторов, исключенных из реестра</t>
  </si>
  <si>
    <t>ОПИСЬ ИМУЩЕСТВА ГРАЖДАНИНА</t>
  </si>
  <si>
    <t>Опись имущества гражданина проведена</t>
  </si>
  <si>
    <t>Дата — то же поле, что в документе 1</t>
  </si>
  <si>
    <t>ЗАКЛЮЧЕНИЕ о наличии или об отсутствии оснований для оспаривания сделок должника</t>
  </si>
  <si>
    <t>Дата подачи в Арбитражный суд заявления о признании несостоятельным (банкротом)</t>
  </si>
  <si>
    <t>«01» апреля 2025 г.</t>
  </si>
  <si>
    <t>Дата возбуждения дела о несостоятельности (банкротстве)</t>
  </si>
  <si>
    <t>«08» апреля 2025 г.</t>
  </si>
  <si>
    <t>Строка — то же поле, что в документе 1</t>
  </si>
  <si>
    <t>были проанализированы условия исполнения сделок, заключенных должником в период с</t>
  </si>
  <si>
    <t>«01» апреля 2022</t>
  </si>
  <si>
    <t>ЗАКЛЮЧЕНИЕ о наличии (отсутствии) признаков фиктивного или преднамеренного банкротства</t>
  </si>
  <si>
    <t>На основании Определения Арбитражного суда … от … г. дело о несостоятельности (банкротстве) возбуждено</t>
  </si>
  <si>
    <t>22.05.2025</t>
  </si>
  <si>
    <t>Дата — то же поле, что в документе 4</t>
  </si>
  <si>
    <t>АНАЛИЗ ФИНАНСОВОГО СОСТОЯНИЯ ГРАЖДАНИНА</t>
  </si>
  <si>
    <t>Дата и место проведения финансового анализа</t>
  </si>
  <si>
    <t>Дополнен</t>
  </si>
  <si>
    <t>«09» августа 2026 г.</t>
  </si>
  <si>
    <t>Договор № Arbitr-3980975400-19805 от 30.07.2026 г., срок действия с 09.09.2026 г. по 08.09.2027 г.</t>
  </si>
  <si>
    <t>Так, за 2022 год средний ежемесячный доход должника после налогообложения составил</t>
  </si>
  <si>
    <t>около 50000 руб., за 2023 год – 40000 руб., за 2024 год – 45000 руб., за 2025 год – 40000 руб.</t>
  </si>
  <si>
    <t>Получателем пенсий, пособий и иных социальных выплат должник</t>
  </si>
  <si>
    <t>не является</t>
  </si>
  <si>
    <t>Флаг (да / нет)</t>
  </si>
  <si>
    <t>Недвижимое имущество, зарегистрированное за Должником –</t>
  </si>
  <si>
    <t>не выявлено.</t>
  </si>
  <si>
    <t>Текст — то же поле, что в документе 1</t>
  </si>
  <si>
    <t>Движимое имущество, зарегистрированное за Должником –</t>
  </si>
  <si>
    <t>Актуальный размер прожиточного минимума для населения</t>
  </si>
  <si>
    <t>Санкт-Петербурга</t>
  </si>
  <si>
    <t>установлен Постановлением Правительства … №</t>
  </si>
  <si>
    <t>858</t>
  </si>
  <si>
    <t>Постановлением Правительства … от</t>
  </si>
  <si>
    <t>11 ноября 2025 года</t>
  </si>
  <si>
    <t>установлена величина прожиточного минимума на … год</t>
  </si>
  <si>
    <t>2026</t>
  </si>
  <si>
    <t>Число (год)</t>
  </si>
  <si>
    <t>в расчете на душу населения –</t>
  </si>
  <si>
    <t>20644</t>
  </si>
  <si>
    <t>для трудоспособного населения –</t>
  </si>
  <si>
    <t>22502</t>
  </si>
  <si>
    <t>пенсионеров –</t>
  </si>
  <si>
    <t>17754</t>
  </si>
  <si>
    <t>детей –</t>
  </si>
  <si>
    <t>20025</t>
  </si>
  <si>
    <t>ХОДАТАЙСТВО о завершении процедуры реализации имущества гражданина</t>
  </si>
  <si>
    <t>Исх. №</t>
  </si>
  <si>
    <t>и введена процедура реализации имущества гражданина сроком на</t>
  </si>
  <si>
    <t>шесть месяцев</t>
  </si>
  <si>
    <t>Число (месяцев)</t>
  </si>
  <si>
    <t>В приложении к настоящему ходатайству представлен отчет финансового управляющего</t>
  </si>
  <si>
    <t>В приложении к настоящему ходатайству представлен отчет финансового управляющего по результатам процедуры реализации имущества, а также копии документов, подтверждающих изложенные в нем сведения.</t>
  </si>
  <si>
    <t>Приложение: — весь блок из 20 позиций</t>
  </si>
  <si>
    <t>Копия документа, подтверждающего направление ходатайства в адрес кредитора, на 1 л.; Копия выписки из ЕГРН … № 00-00-4001/5278/2020-25523 от 18.10.2026 г., на 1 л.; Копия ответа из УГИБДД … №12/23316 от 18.08.2025 г., на 1 л.; …</t>
  </si>
  <si>
    <t>Таблица: наименование / реквизиты / кол-во листов</t>
  </si>
  <si>
    <t>создаем вкладку "уведомление кредиторов почтой" в разделе введение процедуры, в которой можно проставить дату</t>
  </si>
  <si>
    <t>создаем вкладку "дата закрытия реестра" в разделе введение процедуры. Дата должна высчитываться сама по формуле: "дата объявления в газете Коммерсант плюс два месяца". То есть если публикация в Коммерсанте 08.04.2026 г., то дата закрытия реестра 08.06.2026 г.</t>
  </si>
  <si>
    <t>создаем блок "результата рассмотрения требований" в разеделе "процедура". Там делаем такие варианты: - Всего рассмотрено в арбитражном суде заявленных требований о включении в реестр требований кредиторов; - включено в реестр, отказано во включении в реестр</t>
  </si>
  <si>
    <t>Создаем отдельный блок "Расходы на проведение процедуры". Далее в этом блоке прописываем каждую каждую позицию расходов и далее в каждой позиции будем вбивать вручную размер обязательства и погашенную часть, а непогашенный остаток должен считаться. Также стоимость публикации в Коммерсантъ должна подтягиваться из строки №10-11</t>
  </si>
  <si>
    <t>создать вкладку "Фиктивные и преднамеренные признаки банкротства", далее там будет еще публикация в ЕФРСБ, шаблон публикации скину отдельно. Должна быть возможность поставить дату, в которую опубликовано сообщение в ЕФРСБ. Вот дата публикации и будет датой финансового анализа</t>
  </si>
  <si>
    <t>это дата "введение процедуры"</t>
  </si>
  <si>
    <t>это дата составления отчета</t>
  </si>
  <si>
    <t>просто оставляем это красным</t>
  </si>
  <si>
    <t>Оставляем красным</t>
  </si>
  <si>
    <t>Делаем строку, в которой можно проставить несколько дат. Либо выбрать еще варианты: процедура реализации имущества не продлевалась" и "судебные акты не выносились"</t>
  </si>
  <si>
    <t>это нужно добавить в раздел арбитражный управляющий. То есть мы должны сделать справочник арбитражных управляющих. Вот например выбираем оттуда Федорца, а там уже заполнен договор страхования. Более того, программа должна подсказать если он просрочен. Например полись действует до 08.09.2026 г., а сегодня мы делаем отчет уже 09.09.2026 г.. И если в справочнике АУ это не исправлено, то должна быть подсказка, что нужно внести новый полис</t>
  </si>
  <si>
    <t>должна быть такая строка. Она же будет прописываться и в документе "опись имущества"</t>
  </si>
  <si>
    <t>должна быть такая строка. Прописываем сами руками, справочник не создаем. Но вот такой вариант должен предлагаться по умолчанию. То есть либо вот это, либо иди нахуй и пиши сам</t>
  </si>
  <si>
    <t>Нужно создать блок "имущество", там подраздел "движимое" и недвижимое" и вот туда уже будем это все прописывать и оттуда оно уже будет подгружаться. Блок "имущество" должен быть в раздел "ответы из госорганов" в разделе "Процедура". Нихуя непонятно, объясню по телефону конкретно</t>
  </si>
  <si>
    <t>раздел "ответы из госорганов" в разделе "Процедура" будет эта инфа. Должна быть возможность выбрать период "с" и "по"</t>
  </si>
  <si>
    <t>на эти 5 строк создаем вкладку " публикации" в разделе введение процедуры. Далее в этой вкладке раздел "ЕФРСБ" и "Коммерсантъ". В них должна быть возможность ввести номер сообщения, дату и в случае с Коммерсантом еще и номер издания. В разделе "Коммерсантъ" также должна быть стоимость публикации</t>
  </si>
  <si>
    <t>это дата публикации в газете Коммерсантъ</t>
  </si>
  <si>
    <t>оставляем красным</t>
  </si>
  <si>
    <t>оставить красным</t>
  </si>
  <si>
    <t>должна быть возможность вписать все это. Здесь проработаем раздел "требования". То есть нам нужно сделать так, чтобы мы по требованиям могли сделать все с момента получения требования по почте и до его включения в реестр, со всеми публикациями и самое главное отображении его в отчете и в реестре, а также в анализе финансового состояния. Этот момент нужно будет серьезно проработать.</t>
  </si>
  <si>
    <t>да, тоже самое, что в отчете финансового управляющего</t>
  </si>
  <si>
    <t>так же как и в отчете. Из профиля АУ должно тянутся</t>
  </si>
  <si>
    <t>создаем такую строку</t>
  </si>
  <si>
    <t>минус три года от даты №1</t>
  </si>
  <si>
    <t>да</t>
  </si>
  <si>
    <t>здесь отдельно проработаем, должно тянутся с таблицы 4.3 Отчета</t>
  </si>
  <si>
    <t>из адреса регистрации. Если должник зарегистрирован в Спб - то здесь Санкт-Петербурга, если в ЛО - Ленинградская область</t>
  </si>
  <si>
    <t>если дата анализа 2026 год, то здесь 2026 год</t>
  </si>
  <si>
    <t>Возможно по прожиточным минимума хотя бы на Спб и ЛО создадим справочник. Там будет две строки, зато сильно упростит работу и закроет 70% отчетов в этой части</t>
  </si>
  <si>
    <t>не нужно, будем копировать целый абзац из публикации в ЕФРСБ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</si>
</sst>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charset val="1"/>
    </font>
    <font>
      <b/>
      <sz val="14"/>
      <color rgb="FF1F2937"/>
      <name val="Arial"/>
      <charset val="1"/>
    </font>
    <font>
      <sz val="10"/>
      <color rgb="FF6B7280"/>
      <name val="Arial"/>
      <charset val="1"/>
    </font>
    <font>
      <b/>
      <sz val="10"/>
      <color rgb="FFFFFFFF"/>
      <name val="Arial"/>
      <charset val="1"/>
    </font>
    <font>
      <sz val="10"/>
      <color rgb="FF1F2937"/>
      <name val="Arial"/>
      <charset val="1"/>
    </font>
    <font>
      <b/>
      <sz val="10"/>
      <color rgb="FF1F2937"/>
      <name val="Arial"/>
      <charset val="1"/>
    </font>
    <font>
      <i/>
      <sz val="9"/>
      <color rgb="FF6B7280"/>
      <name val="Arial"/>
      <charset val="1"/>
    </font>
    <font>
      <b/>
      <sz val="12"/>
      <color rgb="FF1F2937"/>
      <name val="Arial"/>
      <charset val="1"/>
    </font>
    <font>
      <i/>
      <sz val="10"/>
      <color rgb="FF6B7280"/>
      <name val="Arial"/>
      <charset val="1"/>
    </font>
    <font>
      <sz val="10"/>
      <color rgb="FF9A2A22"/>
      <name val="Arial"/>
      <charset val="1"/>
    </font>
    <font>
      <b/>
      <sz val="11"/>
      <color theme="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2937"/>
      </patternFill>
    </fill>
    <fill>
      <patternFill patternType="solid">
        <fgColor rgb="FFEAEEF7"/>
        <bgColor rgb="FFF5F7FA"/>
      </patternFill>
    </fill>
    <fill>
      <patternFill patternType="solid">
        <fgColor rgb="FFF5F7FA"/>
        <bgColor rgb="FFFFFFFF"/>
      </patternFill>
    </fill>
  </fills>
  <borders count="7">
    <border>
      <left/>
      <right/>
      <top/>
      <bottom/>
      <diagonal/>
    </border>
    <border>
      <left style="thin">
        <color rgb="FFBFC7D3"/>
      </left>
      <right style="thin">
        <color rgb="FFBFC7D3"/>
      </right>
      <top style="thin">
        <color rgb="FFBFC7D3"/>
      </top>
      <bottom style="thin">
        <color rgb="FFBFC7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C7D3"/>
      </left>
      <right/>
      <top style="thin">
        <color rgb="FFBFC7D3"/>
      </top>
      <bottom style="thin">
        <color rgb="FFBFC7D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8" fillId="0" borderId="0" xfId="0" applyFont="1" applyBorder="1" applyAlignment="1">
      <alignment vertical="center" indent="1"/>
    </xf>
    <xf numFmtId="0" fontId="7" fillId="3" borderId="0" xfId="0" applyFont="1" applyFill="1" applyBorder="1" applyAlignment="1">
      <alignment vertical="center" inden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vertical="top"/>
    </xf>
    <xf numFmtId="0" fontId="3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vertical="top" wrapText="1"/>
    </xf>
    <xf numFmtId="0" fontId="9" fillId="4" borderId="1" xfId="0" applyFont="1" applyFill="1" applyBorder="1" applyAlignment="1">
      <alignment vertical="top" wrapText="1"/>
    </xf>
    <xf numFmtId="0" fontId="4" fillId="4" borderId="3" xfId="0" applyFont="1" applyFill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2" xfId="0" applyBorder="1"/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7D3"/>
      <rgbColor rgb="FF808080"/>
      <rgbColor rgb="FF9999FF"/>
      <rgbColor rgb="FF993366"/>
      <rgbColor rgb="FFF5F7FA"/>
      <rgbColor rgb="FFEA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F3864"/>
      <rgbColor rgb="FF339966"/>
      <rgbColor rgb="FF003300"/>
      <rgbColor rgb="FF333300"/>
      <rgbColor rgb="FF9A2A22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4"/>
  <sheetViews>
    <sheetView showGridLines="0" zoomScaleNormal="100" workbookViewId="0">
      <pane ySplit="4" topLeftCell="A5" activePane="bottomLeft" state="frozen"/>
      <selection pane="bottomLeft" activeCell="D5" sqref="D5"/>
    </sheetView>
  </sheetViews>
  <sheetFormatPr defaultColWidth="8.44140625" defaultRowHeight="14.4"/>
  <cols>
    <col min="1" max="1" width="4" customWidth="1"/>
    <col min="2" max="2" width="26" customWidth="1"/>
    <col min="3" max="3" width="54" customWidth="1"/>
    <col min="4" max="4" width="14" customWidth="1"/>
  </cols>
  <sheetData>
    <row r="1" spans="1:4" ht="17.399999999999999">
      <c r="A1" s="3" t="s">
        <v>0</v>
      </c>
    </row>
    <row r="2" spans="1:4">
      <c r="A2" s="4" t="s">
        <v>1</v>
      </c>
    </row>
    <row r="4" spans="1:4" ht="26.4">
      <c r="A4" s="5" t="s">
        <v>2</v>
      </c>
      <c r="B4" s="5" t="s">
        <v>3</v>
      </c>
      <c r="C4" s="5" t="s">
        <v>4</v>
      </c>
      <c r="D4" s="5" t="s">
        <v>5</v>
      </c>
    </row>
    <row r="5" spans="1:4" ht="26.4">
      <c r="A5" s="6">
        <v>1</v>
      </c>
      <c r="B5" s="7" t="s">
        <v>6</v>
      </c>
      <c r="C5" s="8" t="s">
        <v>7</v>
      </c>
      <c r="D5" s="6">
        <v>29</v>
      </c>
    </row>
    <row r="6" spans="1:4">
      <c r="A6" s="6">
        <v>2</v>
      </c>
      <c r="B6" s="7" t="s">
        <v>8</v>
      </c>
      <c r="C6" s="8" t="s">
        <v>9</v>
      </c>
      <c r="D6" s="6">
        <v>7</v>
      </c>
    </row>
    <row r="7" spans="1:4">
      <c r="A7" s="6">
        <v>3</v>
      </c>
      <c r="B7" s="7" t="s">
        <v>10</v>
      </c>
      <c r="C7" s="8" t="s">
        <v>11</v>
      </c>
      <c r="D7" s="6">
        <v>1</v>
      </c>
    </row>
    <row r="8" spans="1:4" ht="26.4">
      <c r="A8" s="6">
        <v>4</v>
      </c>
      <c r="B8" s="7" t="s">
        <v>12</v>
      </c>
      <c r="C8" s="8" t="s">
        <v>13</v>
      </c>
      <c r="D8" s="6">
        <v>4</v>
      </c>
    </row>
    <row r="9" spans="1:4" ht="26.4">
      <c r="A9" s="6">
        <v>5</v>
      </c>
      <c r="B9" s="7" t="s">
        <v>14</v>
      </c>
      <c r="C9" s="8" t="s">
        <v>15</v>
      </c>
      <c r="D9" s="6">
        <v>2</v>
      </c>
    </row>
    <row r="10" spans="1:4">
      <c r="A10" s="6">
        <v>6</v>
      </c>
      <c r="B10" s="7" t="s">
        <v>16</v>
      </c>
      <c r="C10" s="8" t="s">
        <v>17</v>
      </c>
      <c r="D10" s="6">
        <v>15</v>
      </c>
    </row>
    <row r="11" spans="1:4">
      <c r="A11" s="6">
        <v>7</v>
      </c>
      <c r="B11" s="7" t="s">
        <v>18</v>
      </c>
      <c r="C11" s="8" t="s">
        <v>19</v>
      </c>
      <c r="D11" s="6">
        <v>4</v>
      </c>
    </row>
    <row r="12" spans="1:4">
      <c r="B12" s="9" t="s">
        <v>20</v>
      </c>
      <c r="D12" s="10">
        <f>SUM(D5:D11)</f>
        <v>62</v>
      </c>
    </row>
    <row r="13" spans="1:4">
      <c r="B13" s="11" t="s">
        <v>21</v>
      </c>
    </row>
    <row r="14" spans="1:4">
      <c r="B14" s="11" t="s">
        <v>22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33"/>
  <sheetViews>
    <sheetView showGridLines="0" zoomScaleNormal="100" workbookViewId="0">
      <pane ySplit="4" topLeftCell="A26" activePane="bottomLeft" state="frozen"/>
      <selection pane="bottomLeft" activeCell="E33" sqref="E33"/>
    </sheetView>
  </sheetViews>
  <sheetFormatPr defaultColWidth="8.44140625" defaultRowHeight="14.4"/>
  <cols>
    <col min="1" max="1" width="4" customWidth="1"/>
    <col min="2" max="2" width="38" customWidth="1"/>
    <col min="3" max="3" width="42" customWidth="1"/>
    <col min="4" max="4" width="22" customWidth="1"/>
    <col min="5" max="5" width="59.88671875" customWidth="1"/>
  </cols>
  <sheetData>
    <row r="1" spans="1:5" ht="25.5" customHeight="1">
      <c r="A1" s="2" t="s">
        <v>7</v>
      </c>
      <c r="B1" s="2"/>
      <c r="C1" s="2"/>
      <c r="D1" s="2"/>
    </row>
    <row r="2" spans="1:5" ht="19.5" customHeight="1">
      <c r="A2" s="1" t="s">
        <v>23</v>
      </c>
      <c r="B2" s="1"/>
      <c r="C2" s="1"/>
      <c r="D2" s="1"/>
    </row>
    <row r="4" spans="1:5" ht="30" customHeight="1">
      <c r="A4" s="12" t="s">
        <v>2</v>
      </c>
      <c r="B4" s="12" t="s">
        <v>24</v>
      </c>
      <c r="C4" s="12" t="s">
        <v>25</v>
      </c>
      <c r="D4" s="12" t="s">
        <v>26</v>
      </c>
    </row>
    <row r="5" spans="1:5" ht="43.2">
      <c r="A5" s="6" t="s">
        <v>27</v>
      </c>
      <c r="B5" s="8" t="s">
        <v>28</v>
      </c>
      <c r="C5" s="13" t="s">
        <v>29</v>
      </c>
      <c r="D5" s="18" t="s">
        <v>30</v>
      </c>
      <c r="E5" s="21" t="s">
        <v>198</v>
      </c>
    </row>
    <row r="6" spans="1:5" ht="115.2">
      <c r="A6" s="14" t="s">
        <v>31</v>
      </c>
      <c r="B6" s="15" t="s">
        <v>32</v>
      </c>
      <c r="C6" s="16" t="s">
        <v>33</v>
      </c>
      <c r="D6" s="17" t="s">
        <v>34</v>
      </c>
      <c r="E6" s="21" t="s">
        <v>199</v>
      </c>
    </row>
    <row r="7" spans="1:5" ht="79.2">
      <c r="A7" s="6" t="s">
        <v>35</v>
      </c>
      <c r="B7" s="8" t="s">
        <v>36</v>
      </c>
      <c r="C7" s="13" t="s">
        <v>37</v>
      </c>
      <c r="D7" s="18" t="s">
        <v>30</v>
      </c>
      <c r="E7" s="21" t="s">
        <v>202</v>
      </c>
    </row>
    <row r="8" spans="1:5" ht="66">
      <c r="A8" s="14" t="s">
        <v>38</v>
      </c>
      <c r="B8" s="15" t="s">
        <v>39</v>
      </c>
      <c r="C8" s="16" t="s">
        <v>40</v>
      </c>
      <c r="D8" s="17" t="s">
        <v>30</v>
      </c>
      <c r="E8" s="23" t="s">
        <v>197</v>
      </c>
    </row>
    <row r="9" spans="1:5" ht="28.8">
      <c r="A9" s="6" t="s">
        <v>41</v>
      </c>
      <c r="B9" s="8" t="s">
        <v>42</v>
      </c>
      <c r="C9" s="13" t="s">
        <v>43</v>
      </c>
      <c r="D9" s="18" t="s">
        <v>44</v>
      </c>
      <c r="E9" s="24" t="s">
        <v>200</v>
      </c>
    </row>
    <row r="10" spans="1:5" ht="57.6">
      <c r="A10" s="14" t="s">
        <v>45</v>
      </c>
      <c r="B10" s="15" t="s">
        <v>46</v>
      </c>
      <c r="C10" s="16" t="s">
        <v>47</v>
      </c>
      <c r="D10" s="15" t="s">
        <v>34</v>
      </c>
      <c r="E10" s="25" t="s">
        <v>201</v>
      </c>
    </row>
    <row r="11" spans="1:5" ht="39.6">
      <c r="A11" s="6" t="s">
        <v>48</v>
      </c>
      <c r="B11" s="8" t="s">
        <v>49</v>
      </c>
      <c r="C11" s="13" t="s">
        <v>50</v>
      </c>
      <c r="D11" s="18" t="s">
        <v>44</v>
      </c>
      <c r="E11" s="26" t="s">
        <v>203</v>
      </c>
    </row>
    <row r="12" spans="1:5">
      <c r="A12" s="14" t="s">
        <v>51</v>
      </c>
      <c r="B12" s="15" t="s">
        <v>52</v>
      </c>
      <c r="C12" s="16" t="s">
        <v>53</v>
      </c>
      <c r="D12" s="17" t="s">
        <v>44</v>
      </c>
      <c r="E12" s="26"/>
    </row>
    <row r="13" spans="1:5" ht="26.4">
      <c r="A13" s="6" t="s">
        <v>54</v>
      </c>
      <c r="B13" s="8" t="s">
        <v>55</v>
      </c>
      <c r="C13" s="13" t="s">
        <v>56</v>
      </c>
      <c r="D13" s="18" t="s">
        <v>34</v>
      </c>
      <c r="E13" s="19" t="s">
        <v>204</v>
      </c>
    </row>
    <row r="14" spans="1:5" ht="14.4" customHeight="1">
      <c r="A14" s="14" t="s">
        <v>57</v>
      </c>
      <c r="B14" s="15" t="s">
        <v>58</v>
      </c>
      <c r="C14" s="16" t="s">
        <v>59</v>
      </c>
      <c r="D14" s="17" t="s">
        <v>34</v>
      </c>
      <c r="E14" s="19"/>
    </row>
    <row r="15" spans="1:5">
      <c r="A15" s="6" t="s">
        <v>60</v>
      </c>
      <c r="B15" s="8" t="s">
        <v>61</v>
      </c>
      <c r="C15" s="13" t="s">
        <v>62</v>
      </c>
      <c r="D15" s="18" t="s">
        <v>44</v>
      </c>
      <c r="E15" s="19"/>
    </row>
    <row r="16" spans="1:5" ht="26.4">
      <c r="A16" s="14" t="s">
        <v>63</v>
      </c>
      <c r="B16" s="15" t="s">
        <v>64</v>
      </c>
      <c r="C16" s="16" t="s">
        <v>65</v>
      </c>
      <c r="D16" s="17" t="s">
        <v>34</v>
      </c>
      <c r="E16" s="19"/>
    </row>
    <row r="17" spans="1:5">
      <c r="A17" s="6" t="s">
        <v>66</v>
      </c>
      <c r="B17" s="8" t="s">
        <v>67</v>
      </c>
      <c r="C17" s="13" t="s">
        <v>68</v>
      </c>
      <c r="D17" s="18" t="s">
        <v>44</v>
      </c>
      <c r="E17" s="19"/>
    </row>
    <row r="18" spans="1:5" ht="39.6">
      <c r="A18" s="14" t="s">
        <v>69</v>
      </c>
      <c r="B18" s="15" t="s">
        <v>70</v>
      </c>
      <c r="C18" s="16" t="s">
        <v>71</v>
      </c>
      <c r="D18" s="17" t="s">
        <v>44</v>
      </c>
      <c r="E18" s="20" t="s">
        <v>189</v>
      </c>
    </row>
    <row r="19" spans="1:5" ht="72">
      <c r="A19" s="6" t="s">
        <v>72</v>
      </c>
      <c r="B19" s="8" t="s">
        <v>73</v>
      </c>
      <c r="C19" s="13" t="s">
        <v>74</v>
      </c>
      <c r="D19" s="18" t="s">
        <v>44</v>
      </c>
      <c r="E19" s="20" t="s">
        <v>190</v>
      </c>
    </row>
    <row r="20" spans="1:5" ht="72">
      <c r="A20" s="14" t="s">
        <v>75</v>
      </c>
      <c r="B20" s="15" t="s">
        <v>76</v>
      </c>
      <c r="C20" s="16" t="s">
        <v>77</v>
      </c>
      <c r="D20" s="17" t="s">
        <v>78</v>
      </c>
      <c r="E20" s="21" t="s">
        <v>191</v>
      </c>
    </row>
    <row r="21" spans="1:5" ht="26.4">
      <c r="A21" s="6" t="s">
        <v>79</v>
      </c>
      <c r="B21" s="8" t="s">
        <v>80</v>
      </c>
      <c r="C21" s="13" t="s">
        <v>81</v>
      </c>
      <c r="D21" s="18" t="s">
        <v>82</v>
      </c>
      <c r="E21" s="19" t="s">
        <v>192</v>
      </c>
    </row>
    <row r="22" spans="1:5" ht="26.4">
      <c r="A22" s="14" t="s">
        <v>83</v>
      </c>
      <c r="B22" s="15" t="s">
        <v>84</v>
      </c>
      <c r="C22" s="16" t="s">
        <v>85</v>
      </c>
      <c r="D22" s="17" t="s">
        <v>82</v>
      </c>
      <c r="E22" s="19"/>
    </row>
    <row r="23" spans="1:5" ht="26.4">
      <c r="A23" s="6" t="s">
        <v>86</v>
      </c>
      <c r="B23" s="8" t="s">
        <v>87</v>
      </c>
      <c r="C23" s="13" t="s">
        <v>88</v>
      </c>
      <c r="D23" s="18" t="s">
        <v>82</v>
      </c>
      <c r="E23" s="19"/>
    </row>
    <row r="24" spans="1:5" ht="26.4">
      <c r="A24" s="14" t="s">
        <v>89</v>
      </c>
      <c r="B24" s="15" t="s">
        <v>90</v>
      </c>
      <c r="C24" s="16" t="s">
        <v>88</v>
      </c>
      <c r="D24" s="17" t="s">
        <v>82</v>
      </c>
      <c r="E24" s="19"/>
    </row>
    <row r="25" spans="1:5" ht="26.4">
      <c r="A25" s="6" t="s">
        <v>91</v>
      </c>
      <c r="B25" s="8" t="s">
        <v>92</v>
      </c>
      <c r="C25" s="13" t="s">
        <v>93</v>
      </c>
      <c r="D25" s="18" t="s">
        <v>82</v>
      </c>
      <c r="E25" s="19"/>
    </row>
    <row r="26" spans="1:5" ht="26.4">
      <c r="A26" s="14" t="s">
        <v>94</v>
      </c>
      <c r="B26" s="15" t="s">
        <v>95</v>
      </c>
      <c r="C26" s="16" t="s">
        <v>93</v>
      </c>
      <c r="D26" s="17" t="s">
        <v>82</v>
      </c>
      <c r="E26" s="19"/>
    </row>
    <row r="27" spans="1:5" ht="39.6">
      <c r="A27" s="6" t="s">
        <v>96</v>
      </c>
      <c r="B27" s="8" t="s">
        <v>97</v>
      </c>
      <c r="C27" s="13" t="s">
        <v>98</v>
      </c>
      <c r="D27" s="18" t="s">
        <v>82</v>
      </c>
      <c r="E27" s="19"/>
    </row>
    <row r="28" spans="1:5" ht="39.6">
      <c r="A28" s="14" t="s">
        <v>99</v>
      </c>
      <c r="B28" s="15" t="s">
        <v>100</v>
      </c>
      <c r="C28" s="16" t="s">
        <v>98</v>
      </c>
      <c r="D28" s="17" t="s">
        <v>82</v>
      </c>
      <c r="E28" s="19"/>
    </row>
    <row r="29" spans="1:5" ht="72">
      <c r="A29" s="6" t="s">
        <v>101</v>
      </c>
      <c r="B29" s="8" t="s">
        <v>102</v>
      </c>
      <c r="C29" s="13" t="s">
        <v>103</v>
      </c>
      <c r="D29" s="18" t="s">
        <v>44</v>
      </c>
      <c r="E29" s="21" t="s">
        <v>193</v>
      </c>
    </row>
    <row r="30" spans="1:5" ht="26.4">
      <c r="A30" s="14" t="s">
        <v>104</v>
      </c>
      <c r="B30" s="15" t="s">
        <v>105</v>
      </c>
      <c r="C30" s="16" t="s">
        <v>106</v>
      </c>
      <c r="D30" s="17" t="s">
        <v>44</v>
      </c>
      <c r="E30" s="23" t="s">
        <v>194</v>
      </c>
    </row>
    <row r="31" spans="1:5">
      <c r="A31" s="6" t="s">
        <v>107</v>
      </c>
      <c r="B31" s="8" t="s">
        <v>108</v>
      </c>
      <c r="C31" s="13" t="s">
        <v>109</v>
      </c>
      <c r="D31" s="18" t="s">
        <v>44</v>
      </c>
      <c r="E31" s="23" t="s">
        <v>195</v>
      </c>
    </row>
    <row r="32" spans="1:5" ht="39.6">
      <c r="A32" s="14" t="s">
        <v>110</v>
      </c>
      <c r="B32" s="15" t="s">
        <v>111</v>
      </c>
      <c r="C32" s="16" t="s">
        <v>112</v>
      </c>
      <c r="D32" s="17" t="s">
        <v>44</v>
      </c>
      <c r="E32" s="23" t="s">
        <v>196</v>
      </c>
    </row>
    <row r="33" spans="1:5" ht="39.6">
      <c r="A33" s="6" t="s">
        <v>113</v>
      </c>
      <c r="B33" s="8" t="s">
        <v>114</v>
      </c>
      <c r="C33" s="13" t="s">
        <v>115</v>
      </c>
      <c r="D33" s="18" t="s">
        <v>30</v>
      </c>
      <c r="E33" s="23" t="s">
        <v>197</v>
      </c>
    </row>
  </sheetData>
  <autoFilter ref="A4:D33"/>
  <mergeCells count="5">
    <mergeCell ref="A1:D1"/>
    <mergeCell ref="A2:D2"/>
    <mergeCell ref="E21:E28"/>
    <mergeCell ref="E11:E12"/>
    <mergeCell ref="E13:E17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1"/>
  <sheetViews>
    <sheetView showGridLines="0" zoomScaleNormal="100" workbookViewId="0">
      <pane ySplit="4" topLeftCell="A5" activePane="bottomLeft" state="frozen"/>
      <selection pane="bottomLeft" activeCell="E11" sqref="E11"/>
    </sheetView>
  </sheetViews>
  <sheetFormatPr defaultColWidth="8.44140625" defaultRowHeight="14.4"/>
  <cols>
    <col min="1" max="1" width="4" customWidth="1"/>
    <col min="2" max="2" width="38" customWidth="1"/>
    <col min="3" max="3" width="42" customWidth="1"/>
    <col min="4" max="4" width="22" customWidth="1"/>
    <col min="5" max="5" width="84.6640625" customWidth="1"/>
  </cols>
  <sheetData>
    <row r="1" spans="1:5" ht="25.5" customHeight="1">
      <c r="A1" s="2" t="s">
        <v>9</v>
      </c>
      <c r="B1" s="2"/>
      <c r="C1" s="2"/>
      <c r="D1" s="2"/>
    </row>
    <row r="2" spans="1:5" ht="19.5" customHeight="1">
      <c r="A2" s="1" t="s">
        <v>116</v>
      </c>
      <c r="B2" s="1"/>
      <c r="C2" s="1"/>
      <c r="D2" s="1"/>
    </row>
    <row r="4" spans="1:5" ht="30" customHeight="1">
      <c r="A4" s="12" t="s">
        <v>2</v>
      </c>
      <c r="B4" s="12" t="s">
        <v>24</v>
      </c>
      <c r="C4" s="12" t="s">
        <v>25</v>
      </c>
      <c r="D4" s="12" t="s">
        <v>26</v>
      </c>
    </row>
    <row r="5" spans="1:5">
      <c r="A5" s="6" t="s">
        <v>27</v>
      </c>
      <c r="B5" s="8" t="s">
        <v>117</v>
      </c>
      <c r="C5" s="13" t="s">
        <v>118</v>
      </c>
      <c r="D5" s="18" t="s">
        <v>44</v>
      </c>
      <c r="E5" s="27" t="s">
        <v>205</v>
      </c>
    </row>
    <row r="6" spans="1:5" ht="72" customHeight="1">
      <c r="A6" s="14" t="s">
        <v>31</v>
      </c>
      <c r="B6" s="15" t="s">
        <v>119</v>
      </c>
      <c r="C6" s="16" t="s">
        <v>120</v>
      </c>
      <c r="D6" s="17" t="s">
        <v>121</v>
      </c>
      <c r="E6" s="28" t="s">
        <v>208</v>
      </c>
    </row>
    <row r="7" spans="1:5" ht="26.4">
      <c r="A7" s="6" t="s">
        <v>35</v>
      </c>
      <c r="B7" s="8" t="s">
        <v>122</v>
      </c>
      <c r="C7" s="13" t="s">
        <v>123</v>
      </c>
      <c r="D7" s="18" t="s">
        <v>124</v>
      </c>
      <c r="E7" s="29"/>
    </row>
    <row r="8" spans="1:5" ht="26.4">
      <c r="A8" s="14" t="s">
        <v>38</v>
      </c>
      <c r="B8" s="15" t="s">
        <v>125</v>
      </c>
      <c r="C8" s="16" t="s">
        <v>126</v>
      </c>
      <c r="D8" s="17" t="s">
        <v>124</v>
      </c>
      <c r="E8" s="29"/>
    </row>
    <row r="9" spans="1:5" ht="26.4">
      <c r="A9" s="6" t="s">
        <v>41</v>
      </c>
      <c r="B9" s="8" t="s">
        <v>127</v>
      </c>
      <c r="C9" s="13" t="s">
        <v>128</v>
      </c>
      <c r="D9" s="18" t="s">
        <v>121</v>
      </c>
      <c r="E9" s="29"/>
    </row>
    <row r="10" spans="1:5" ht="26.4">
      <c r="A10" s="14" t="s">
        <v>45</v>
      </c>
      <c r="B10" s="15" t="s">
        <v>129</v>
      </c>
      <c r="C10" s="16" t="s">
        <v>130</v>
      </c>
      <c r="D10" s="17" t="s">
        <v>131</v>
      </c>
      <c r="E10" s="30"/>
    </row>
    <row r="11" spans="1:5" ht="26.4">
      <c r="A11" s="6" t="s">
        <v>48</v>
      </c>
      <c r="B11" s="8" t="s">
        <v>132</v>
      </c>
      <c r="C11" s="13" t="s">
        <v>77</v>
      </c>
      <c r="D11" s="18" t="s">
        <v>78</v>
      </c>
      <c r="E11" s="21" t="s">
        <v>207</v>
      </c>
    </row>
  </sheetData>
  <autoFilter ref="A4:D11"/>
  <mergeCells count="3">
    <mergeCell ref="A1:D1"/>
    <mergeCell ref="A2:D2"/>
    <mergeCell ref="E6:E10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5"/>
  <sheetViews>
    <sheetView showGridLines="0" zoomScaleNormal="100" workbookViewId="0">
      <pane ySplit="4" topLeftCell="A5" activePane="bottomLeft" state="frozen"/>
      <selection pane="bottomLeft" activeCell="E6" sqref="E6"/>
    </sheetView>
  </sheetViews>
  <sheetFormatPr defaultColWidth="8.44140625" defaultRowHeight="14.4"/>
  <cols>
    <col min="1" max="1" width="4" customWidth="1"/>
    <col min="2" max="2" width="38" customWidth="1"/>
    <col min="3" max="3" width="42" customWidth="1"/>
    <col min="4" max="4" width="22" customWidth="1"/>
  </cols>
  <sheetData>
    <row r="1" spans="1:5" ht="25.5" customHeight="1">
      <c r="A1" s="2" t="s">
        <v>11</v>
      </c>
      <c r="B1" s="2"/>
      <c r="C1" s="2"/>
      <c r="D1" s="2"/>
    </row>
    <row r="2" spans="1:5" ht="19.5" customHeight="1">
      <c r="A2" s="1" t="s">
        <v>133</v>
      </c>
      <c r="B2" s="1"/>
      <c r="C2" s="1"/>
      <c r="D2" s="1"/>
    </row>
    <row r="4" spans="1:5" ht="30" customHeight="1">
      <c r="A4" s="12" t="s">
        <v>2</v>
      </c>
      <c r="B4" s="12" t="s">
        <v>24</v>
      </c>
      <c r="C4" s="12" t="s">
        <v>25</v>
      </c>
      <c r="D4" s="12" t="s">
        <v>26</v>
      </c>
    </row>
    <row r="5" spans="1:5" ht="26.4">
      <c r="A5" s="6" t="s">
        <v>27</v>
      </c>
      <c r="B5" s="8" t="s">
        <v>134</v>
      </c>
      <c r="C5" s="13" t="s">
        <v>43</v>
      </c>
      <c r="D5" s="8" t="s">
        <v>135</v>
      </c>
      <c r="E5" t="s">
        <v>209</v>
      </c>
    </row>
  </sheetData>
  <autoFilter ref="A4:D5"/>
  <mergeCells count="2">
    <mergeCell ref="A1:D1"/>
    <mergeCell ref="A2:D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8"/>
  <sheetViews>
    <sheetView showGridLines="0" zoomScaleNormal="100" workbookViewId="0">
      <pane ySplit="4" topLeftCell="A5" activePane="bottomLeft" state="frozen"/>
      <selection pane="bottomLeft" activeCell="E7" sqref="E7"/>
    </sheetView>
  </sheetViews>
  <sheetFormatPr defaultColWidth="8.44140625" defaultRowHeight="14.4"/>
  <cols>
    <col min="1" max="1" width="4" customWidth="1"/>
    <col min="2" max="2" width="38" customWidth="1"/>
    <col min="3" max="3" width="42" customWidth="1"/>
    <col min="4" max="4" width="22" customWidth="1"/>
    <col min="5" max="5" width="51.5546875" customWidth="1"/>
  </cols>
  <sheetData>
    <row r="1" spans="1:5" ht="25.5" customHeight="1">
      <c r="A1" s="2" t="s">
        <v>13</v>
      </c>
      <c r="B1" s="2"/>
      <c r="C1" s="2"/>
      <c r="D1" s="2"/>
    </row>
    <row r="2" spans="1:5" ht="19.5" customHeight="1">
      <c r="A2" s="1" t="s">
        <v>136</v>
      </c>
      <c r="B2" s="1"/>
      <c r="C2" s="1"/>
      <c r="D2" s="1"/>
    </row>
    <row r="4" spans="1:5" ht="30" customHeight="1">
      <c r="A4" s="12" t="s">
        <v>2</v>
      </c>
      <c r="B4" s="12" t="s">
        <v>24</v>
      </c>
      <c r="C4" s="12" t="s">
        <v>25</v>
      </c>
      <c r="D4" s="12" t="s">
        <v>26</v>
      </c>
    </row>
    <row r="5" spans="1:5" ht="39.6">
      <c r="A5" s="6" t="s">
        <v>27</v>
      </c>
      <c r="B5" s="8" t="s">
        <v>137</v>
      </c>
      <c r="C5" s="13" t="s">
        <v>138</v>
      </c>
      <c r="D5" s="8" t="s">
        <v>44</v>
      </c>
      <c r="E5" s="22" t="s">
        <v>211</v>
      </c>
    </row>
    <row r="6" spans="1:5" ht="26.4">
      <c r="A6" s="14" t="s">
        <v>31</v>
      </c>
      <c r="B6" s="15" t="s">
        <v>139</v>
      </c>
      <c r="C6" s="16" t="s">
        <v>140</v>
      </c>
      <c r="D6" s="15" t="s">
        <v>44</v>
      </c>
      <c r="E6" s="22" t="s">
        <v>211</v>
      </c>
    </row>
    <row r="7" spans="1:5" ht="39.6">
      <c r="A7" s="6" t="s">
        <v>35</v>
      </c>
      <c r="B7" s="8" t="s">
        <v>32</v>
      </c>
      <c r="C7" s="13" t="s">
        <v>33</v>
      </c>
      <c r="D7" s="8" t="s">
        <v>141</v>
      </c>
      <c r="E7" s="22" t="s">
        <v>210</v>
      </c>
    </row>
    <row r="8" spans="1:5" ht="39.6">
      <c r="A8" s="14" t="s">
        <v>38</v>
      </c>
      <c r="B8" s="15" t="s">
        <v>142</v>
      </c>
      <c r="C8" s="16" t="s">
        <v>143</v>
      </c>
      <c r="D8" s="15" t="s">
        <v>44</v>
      </c>
      <c r="E8" s="22" t="s">
        <v>212</v>
      </c>
    </row>
  </sheetData>
  <autoFilter ref="A4:D8"/>
  <mergeCells count="2">
    <mergeCell ref="A1:D1"/>
    <mergeCell ref="A2:D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6"/>
  <sheetViews>
    <sheetView showGridLines="0" zoomScaleNormal="100" workbookViewId="0">
      <pane ySplit="4" topLeftCell="A5" activePane="bottomLeft" state="frozen"/>
      <selection pane="bottomLeft" activeCell="E5" sqref="E5"/>
    </sheetView>
  </sheetViews>
  <sheetFormatPr defaultColWidth="8.44140625" defaultRowHeight="14.4"/>
  <cols>
    <col min="1" max="1" width="4" customWidth="1"/>
    <col min="2" max="2" width="38" customWidth="1"/>
    <col min="3" max="3" width="42" customWidth="1"/>
    <col min="4" max="4" width="22" customWidth="1"/>
  </cols>
  <sheetData>
    <row r="1" spans="1:5" ht="25.5" customHeight="1">
      <c r="A1" s="2" t="s">
        <v>15</v>
      </c>
      <c r="B1" s="2"/>
      <c r="C1" s="2"/>
      <c r="D1" s="2"/>
    </row>
    <row r="2" spans="1:5" ht="19.5" customHeight="1">
      <c r="A2" s="1" t="s">
        <v>144</v>
      </c>
      <c r="B2" s="1"/>
      <c r="C2" s="1"/>
      <c r="D2" s="1"/>
    </row>
    <row r="4" spans="1:5" ht="30" customHeight="1">
      <c r="A4" s="12" t="s">
        <v>2</v>
      </c>
      <c r="B4" s="12" t="s">
        <v>24</v>
      </c>
      <c r="C4" s="12" t="s">
        <v>25</v>
      </c>
      <c r="D4" s="12" t="s">
        <v>26</v>
      </c>
    </row>
    <row r="5" spans="1:5" ht="39.6">
      <c r="A5" s="6" t="s">
        <v>27</v>
      </c>
      <c r="B5" s="8" t="s">
        <v>32</v>
      </c>
      <c r="C5" s="13" t="s">
        <v>33</v>
      </c>
      <c r="D5" s="8" t="s">
        <v>141</v>
      </c>
      <c r="E5" s="22" t="s">
        <v>210</v>
      </c>
    </row>
    <row r="6" spans="1:5" ht="52.8">
      <c r="A6" s="14" t="s">
        <v>31</v>
      </c>
      <c r="B6" s="15" t="s">
        <v>145</v>
      </c>
      <c r="C6" s="16" t="s">
        <v>146</v>
      </c>
      <c r="D6" s="15" t="s">
        <v>147</v>
      </c>
      <c r="E6" s="22" t="s">
        <v>213</v>
      </c>
    </row>
  </sheetData>
  <autoFilter ref="A4:D6"/>
  <mergeCells count="2">
    <mergeCell ref="A1:D1"/>
    <mergeCell ref="A2:D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5"/>
  <sheetViews>
    <sheetView showGridLines="0" zoomScaleNormal="100" workbookViewId="0">
      <pane ySplit="4" topLeftCell="A11" activePane="bottomLeft" state="frozen"/>
      <selection pane="bottomLeft" activeCell="C21" sqref="C21:F25"/>
    </sheetView>
  </sheetViews>
  <sheetFormatPr defaultColWidth="8.44140625" defaultRowHeight="14.4"/>
  <cols>
    <col min="1" max="1" width="4" customWidth="1"/>
    <col min="2" max="2" width="38" customWidth="1"/>
    <col min="3" max="3" width="42" customWidth="1"/>
    <col min="4" max="4" width="22" customWidth="1"/>
  </cols>
  <sheetData>
    <row r="1" spans="1:5" ht="25.5" customHeight="1">
      <c r="A1" s="2" t="s">
        <v>17</v>
      </c>
      <c r="B1" s="2"/>
      <c r="C1" s="2"/>
      <c r="D1" s="2"/>
    </row>
    <row r="2" spans="1:5" ht="19.5" customHeight="1">
      <c r="A2" s="1" t="s">
        <v>148</v>
      </c>
      <c r="B2" s="1"/>
      <c r="C2" s="1"/>
      <c r="D2" s="1"/>
    </row>
    <row r="4" spans="1:5" ht="30" customHeight="1">
      <c r="A4" s="12" t="s">
        <v>2</v>
      </c>
      <c r="B4" s="12" t="s">
        <v>24</v>
      </c>
      <c r="C4" s="12" t="s">
        <v>25</v>
      </c>
      <c r="D4" s="12" t="s">
        <v>26</v>
      </c>
    </row>
    <row r="5" spans="1:5" ht="26.4">
      <c r="A5" s="6" t="s">
        <v>27</v>
      </c>
      <c r="B5" s="8" t="s">
        <v>149</v>
      </c>
      <c r="C5" s="13" t="s">
        <v>103</v>
      </c>
      <c r="D5" s="8" t="s">
        <v>135</v>
      </c>
    </row>
    <row r="6" spans="1:5">
      <c r="A6" s="14" t="s">
        <v>31</v>
      </c>
      <c r="B6" s="15" t="s">
        <v>150</v>
      </c>
      <c r="C6" s="16" t="s">
        <v>151</v>
      </c>
      <c r="D6" s="15" t="s">
        <v>44</v>
      </c>
    </row>
    <row r="7" spans="1:5" ht="39.6">
      <c r="A7" s="6" t="s">
        <v>35</v>
      </c>
      <c r="B7" s="8" t="s">
        <v>32</v>
      </c>
      <c r="C7" s="13" t="s">
        <v>152</v>
      </c>
      <c r="D7" s="8" t="s">
        <v>141</v>
      </c>
      <c r="E7" t="s">
        <v>213</v>
      </c>
    </row>
    <row r="8" spans="1:5" ht="39.6">
      <c r="A8" s="14" t="s">
        <v>38</v>
      </c>
      <c r="B8" s="15" t="s">
        <v>153</v>
      </c>
      <c r="C8" s="16" t="s">
        <v>154</v>
      </c>
      <c r="D8" s="15" t="s">
        <v>30</v>
      </c>
      <c r="E8" t="s">
        <v>206</v>
      </c>
    </row>
    <row r="9" spans="1:5" ht="39.6">
      <c r="A9" s="6" t="s">
        <v>41</v>
      </c>
      <c r="B9" s="8" t="s">
        <v>155</v>
      </c>
      <c r="C9" s="13" t="s">
        <v>156</v>
      </c>
      <c r="D9" s="8" t="s">
        <v>157</v>
      </c>
      <c r="E9" s="8" t="s">
        <v>157</v>
      </c>
    </row>
    <row r="10" spans="1:5" ht="26.4">
      <c r="A10" s="14" t="s">
        <v>45</v>
      </c>
      <c r="B10" s="15" t="s">
        <v>158</v>
      </c>
      <c r="C10" s="16" t="s">
        <v>159</v>
      </c>
      <c r="D10" s="15" t="s">
        <v>160</v>
      </c>
      <c r="E10" t="s">
        <v>214</v>
      </c>
    </row>
    <row r="11" spans="1:5" ht="26.4">
      <c r="A11" s="6" t="s">
        <v>48</v>
      </c>
      <c r="B11" s="8" t="s">
        <v>161</v>
      </c>
      <c r="C11" s="13" t="s">
        <v>159</v>
      </c>
      <c r="D11" s="8" t="s">
        <v>30</v>
      </c>
      <c r="E11" t="s">
        <v>214</v>
      </c>
    </row>
    <row r="12" spans="1:5" ht="26.4">
      <c r="A12" s="14" t="s">
        <v>51</v>
      </c>
      <c r="B12" s="15" t="s">
        <v>162</v>
      </c>
      <c r="C12" s="16" t="s">
        <v>163</v>
      </c>
      <c r="D12" s="15" t="s">
        <v>34</v>
      </c>
      <c r="E12" t="s">
        <v>215</v>
      </c>
    </row>
    <row r="13" spans="1:5" ht="26.4">
      <c r="A13" s="6" t="s">
        <v>54</v>
      </c>
      <c r="B13" s="8" t="s">
        <v>164</v>
      </c>
      <c r="C13" s="13" t="s">
        <v>165</v>
      </c>
      <c r="D13" s="8" t="s">
        <v>34</v>
      </c>
      <c r="E13" t="s">
        <v>206</v>
      </c>
    </row>
    <row r="14" spans="1:5">
      <c r="A14" s="14" t="s">
        <v>57</v>
      </c>
      <c r="B14" s="15" t="s">
        <v>166</v>
      </c>
      <c r="C14" s="16" t="s">
        <v>167</v>
      </c>
      <c r="D14" s="15" t="s">
        <v>44</v>
      </c>
      <c r="E14" t="s">
        <v>206</v>
      </c>
    </row>
    <row r="15" spans="1:5" ht="26.4">
      <c r="A15" s="6" t="s">
        <v>60</v>
      </c>
      <c r="B15" s="8" t="s">
        <v>168</v>
      </c>
      <c r="C15" s="13" t="s">
        <v>169</v>
      </c>
      <c r="D15" s="8" t="s">
        <v>170</v>
      </c>
      <c r="E15" t="s">
        <v>216</v>
      </c>
    </row>
    <row r="16" spans="1:5">
      <c r="A16" s="14" t="s">
        <v>63</v>
      </c>
      <c r="B16" s="15" t="s">
        <v>171</v>
      </c>
      <c r="C16" s="16" t="s">
        <v>172</v>
      </c>
      <c r="D16" s="15" t="s">
        <v>82</v>
      </c>
      <c r="E16" t="s">
        <v>206</v>
      </c>
    </row>
    <row r="17" spans="1:6">
      <c r="A17" s="6" t="s">
        <v>66</v>
      </c>
      <c r="B17" s="8" t="s">
        <v>173</v>
      </c>
      <c r="C17" s="13" t="s">
        <v>174</v>
      </c>
      <c r="D17" s="8" t="s">
        <v>82</v>
      </c>
      <c r="E17" t="s">
        <v>206</v>
      </c>
    </row>
    <row r="18" spans="1:6">
      <c r="A18" s="14" t="s">
        <v>69</v>
      </c>
      <c r="B18" s="15" t="s">
        <v>175</v>
      </c>
      <c r="C18" s="16" t="s">
        <v>176</v>
      </c>
      <c r="D18" s="15" t="s">
        <v>82</v>
      </c>
      <c r="E18" t="s">
        <v>206</v>
      </c>
    </row>
    <row r="19" spans="1:6">
      <c r="A19" s="6" t="s">
        <v>72</v>
      </c>
      <c r="B19" s="8" t="s">
        <v>177</v>
      </c>
      <c r="C19" s="13" t="s">
        <v>178</v>
      </c>
      <c r="D19" s="8" t="s">
        <v>82</v>
      </c>
      <c r="E19" t="s">
        <v>206</v>
      </c>
    </row>
    <row r="21" spans="1:6">
      <c r="C21" s="31" t="s">
        <v>217</v>
      </c>
      <c r="D21" s="31"/>
      <c r="E21" s="31"/>
      <c r="F21" s="31"/>
    </row>
    <row r="22" spans="1:6">
      <c r="C22" s="31"/>
      <c r="D22" s="31"/>
      <c r="E22" s="31"/>
      <c r="F22" s="31"/>
    </row>
    <row r="23" spans="1:6">
      <c r="C23" s="31"/>
      <c r="D23" s="31"/>
      <c r="E23" s="31"/>
      <c r="F23" s="31"/>
    </row>
    <row r="24" spans="1:6">
      <c r="C24" s="31"/>
      <c r="D24" s="31"/>
      <c r="E24" s="31"/>
      <c r="F24" s="31"/>
    </row>
    <row r="25" spans="1:6">
      <c r="C25" s="31"/>
      <c r="D25" s="31"/>
      <c r="E25" s="31"/>
      <c r="F25" s="31"/>
    </row>
  </sheetData>
  <autoFilter ref="A4:D19"/>
  <mergeCells count="3">
    <mergeCell ref="A1:D1"/>
    <mergeCell ref="A2:D2"/>
    <mergeCell ref="C21:F25"/>
  </mergeCells>
  <pageMargins left="0.75" right="0.75" top="1" bottom="1" header="0.511811023622047" footer="0.511811023622047"/>
  <pageSetup fitToHeight="0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8"/>
  <sheetViews>
    <sheetView showGridLines="0" tabSelected="1" zoomScaleNormal="100" workbookViewId="0">
      <pane ySplit="4" topLeftCell="A5" activePane="bottomLeft" state="frozen"/>
      <selection pane="bottomLeft" activeCell="E7" sqref="E7"/>
    </sheetView>
  </sheetViews>
  <sheetFormatPr defaultColWidth="8.44140625" defaultRowHeight="14.4"/>
  <cols>
    <col min="1" max="1" width="4" customWidth="1"/>
    <col min="2" max="2" width="38" customWidth="1"/>
    <col min="3" max="3" width="42" customWidth="1"/>
    <col min="4" max="4" width="22" customWidth="1"/>
  </cols>
  <sheetData>
    <row r="1" spans="1:5" ht="25.5" customHeight="1">
      <c r="A1" s="2" t="s">
        <v>19</v>
      </c>
      <c r="B1" s="2"/>
      <c r="C1" s="2"/>
      <c r="D1" s="2"/>
    </row>
    <row r="2" spans="1:5" ht="19.5" customHeight="1">
      <c r="A2" s="1" t="s">
        <v>179</v>
      </c>
      <c r="B2" s="1"/>
      <c r="C2" s="1"/>
      <c r="D2" s="1"/>
    </row>
    <row r="4" spans="1:5" ht="30" customHeight="1">
      <c r="A4" s="12" t="s">
        <v>2</v>
      </c>
      <c r="B4" s="12" t="s">
        <v>24</v>
      </c>
      <c r="C4" s="12" t="s">
        <v>25</v>
      </c>
      <c r="D4" s="12" t="s">
        <v>26</v>
      </c>
    </row>
    <row r="5" spans="1:5">
      <c r="A5" s="6" t="s">
        <v>27</v>
      </c>
      <c r="B5" s="8" t="s">
        <v>180</v>
      </c>
      <c r="C5" s="13" t="s">
        <v>27</v>
      </c>
      <c r="D5" s="8" t="s">
        <v>34</v>
      </c>
      <c r="E5" s="22" t="s">
        <v>206</v>
      </c>
    </row>
    <row r="6" spans="1:5" ht="26.4">
      <c r="A6" s="14" t="s">
        <v>31</v>
      </c>
      <c r="B6" s="15" t="s">
        <v>181</v>
      </c>
      <c r="C6" s="16" t="s">
        <v>182</v>
      </c>
      <c r="D6" s="15" t="s">
        <v>183</v>
      </c>
      <c r="E6" s="22" t="s">
        <v>218</v>
      </c>
    </row>
    <row r="7" spans="1:5" ht="79.2">
      <c r="A7" s="6" t="s">
        <v>35</v>
      </c>
      <c r="B7" s="8" t="s">
        <v>184</v>
      </c>
      <c r="C7" s="13" t="s">
        <v>185</v>
      </c>
      <c r="D7" s="8" t="s">
        <v>30</v>
      </c>
      <c r="E7" s="22" t="s">
        <v>206</v>
      </c>
    </row>
    <row r="8" spans="1:5" ht="79.2">
      <c r="A8" s="14" t="s">
        <v>38</v>
      </c>
      <c r="B8" s="15" t="s">
        <v>186</v>
      </c>
      <c r="C8" s="16" t="s">
        <v>187</v>
      </c>
      <c r="D8" s="15" t="s">
        <v>188</v>
      </c>
      <c r="E8" s="22" t="s">
        <v>206</v>
      </c>
    </row>
  </sheetData>
  <autoFilter ref="A4:D8"/>
  <mergeCells count="2">
    <mergeCell ref="A1:D1"/>
    <mergeCell ref="A2:D2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Сводка</vt:lpstr>
      <vt:lpstr>1. Отчёт ФУ</vt:lpstr>
      <vt:lpstr>2. Реестр требований</vt:lpstr>
      <vt:lpstr>3. Опись имущества</vt:lpstr>
      <vt:lpstr>4. Оспаривание сделок</vt:lpstr>
      <vt:lpstr>5. Фиктивное банкротство</vt:lpstr>
      <vt:lpstr>6. Анализ фин. состояния</vt:lpstr>
      <vt:lpstr>7. Ходатайство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Рустам</cp:lastModifiedBy>
  <cp:revision>0</cp:revision>
  <dcterms:created xsi:type="dcterms:W3CDTF">2026-09-07T11:54:45Z</dcterms:created>
  <dcterms:modified xsi:type="dcterms:W3CDTF">2026-09-11T15:14:04Z</dcterms:modified>
  <dc:language>ru-RU</dc:language>
</cp:coreProperties>
</file>